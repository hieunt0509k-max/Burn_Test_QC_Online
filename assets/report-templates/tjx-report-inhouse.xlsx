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865" firstSheet="1" activeTab="1"/>
  </bookViews>
  <sheets>
    <sheet name="1.nến khuôn" sheetId="1" r:id="rId1"/>
    <sheet name="2.Nến cốc " sheetId="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nhietdo">[8]℃!$A$5:$C$1000</definedName>
    <definedName name="CONG">[1]CONG!$A$11:$AO$148</definedName>
    <definedName name="cong.control">[2]Control!$A$9:$AP$125</definedName>
    <definedName name="congkhoan">OFFSET([3]Data!$BX$3,0,0,COUNTA([3]Data!$BX$3:$BX$100),1)</definedName>
    <definedName name="congnhat">OFFSET([3]Data!$BW$3,0,0,COUNTA([3]Data!$BW$3:$BW$100),1)</definedName>
    <definedName name="hovaten">OFFSET('[4]Tổng hợp'!$C$5,0,0,MAX('[4]Tổng hợp'!$A$1:$A$65536),1)</definedName>
    <definedName name="khachhang" comment="khách hàng">#REF!</definedName>
    <definedName name="ngaybatdau">[5]Sheet1!$S$6</definedName>
    <definedName name="tblAQL">[6]AQL!$A$3:$F$17</definedName>
    <definedName name="kh">'[6]Thống kê báo cáo hàng ngày'!$J$2:$K$4174</definedName>
    <definedName name="DON">[6]khachang!$B$1:$B$9999</definedName>
    <definedName name="CUSTUMER">[6]khachang!$A$1:$B$10000</definedName>
    <definedName name="A4I14">[7]订单明细表!$AJ$14</definedName>
    <definedName name="H412、7">[7]订单明细表!$H$7</definedName>
    <definedName name="会113">[7]订单明细表!$H$3213</definedName>
    <definedName name="_xlnm.Print_Area" localSheetId="0">'1.nến khuôn'!$A$1:$J$19</definedName>
    <definedName name="_xlnm.Print_Area" localSheetId="1">'2.Nến cốc '!$A$1:$K$20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9" name="ID_7ABDABB1ED324DD0A971A1B1469FC7F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57775" y="76835"/>
          <a:ext cx="3067050" cy="42386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0" name="ID_4A3A17F2BB3149C0815EAC9D6668F6F4" descr="picnC6AE4B98B2F911F1FD9C7B105344ypid5C69865F19C7460392C91D0F17DAA6EC8B511A805C8DB625F625B53AD51EFEED3DEB1C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116955" y="19050"/>
          <a:ext cx="2469515" cy="3241675"/>
        </a:xfrm>
        <a:prstGeom prst="round2DiagRect">
          <a:avLst/>
        </a:prstGeom>
      </xdr:spPr>
    </xdr:pic>
  </etc:cellImage>
</etc:cellImages>
</file>

<file path=xl/sharedStrings.xml><?xml version="1.0" encoding="utf-8"?>
<sst xmlns="http://schemas.openxmlformats.org/spreadsheetml/2006/main" count="82" uniqueCount="56">
  <si>
    <t>ISUN PRODUCTS VIETNAM CO., LTD</t>
  </si>
  <si>
    <r>
      <rPr>
        <b/>
        <sz val="14"/>
        <rFont val="Times New Roman"/>
        <charset val="134"/>
      </rPr>
      <t xml:space="preserve">Burning Test Record Form
</t>
    </r>
    <r>
      <rPr>
        <b/>
        <sz val="14"/>
        <rFont val="SimSun"/>
        <charset val="134"/>
      </rPr>
      <t xml:space="preserve">燃烧测试记录表
</t>
    </r>
    <r>
      <rPr>
        <b/>
        <sz val="14"/>
        <rFont val="Times New Roman"/>
        <charset val="134"/>
      </rPr>
      <t>Biểu ghi chép thử nghiệm đốt nến</t>
    </r>
  </si>
  <si>
    <r>
      <rPr>
        <b/>
        <sz val="6.5"/>
        <rFont val="Times New Roman"/>
        <charset val="134"/>
      </rPr>
      <t xml:space="preserve">Sample No </t>
    </r>
    <r>
      <rPr>
        <b/>
        <sz val="6.5"/>
        <rFont val="SimSun"/>
        <charset val="134"/>
      </rPr>
      <t xml:space="preserve">样单号
</t>
    </r>
    <r>
      <rPr>
        <b/>
        <sz val="6.5"/>
        <rFont val="Times New Roman"/>
        <charset val="134"/>
      </rPr>
      <t>Mã số mẫu</t>
    </r>
  </si>
  <si>
    <t>WF-1200</t>
  </si>
  <si>
    <r>
      <rPr>
        <b/>
        <sz val="8"/>
        <rFont val="Times New Roman"/>
        <charset val="134"/>
      </rPr>
      <t xml:space="preserve">Customer
</t>
    </r>
    <r>
      <rPr>
        <b/>
        <sz val="8"/>
        <rFont val="SimSun"/>
        <charset val="134"/>
      </rPr>
      <t>客户名称</t>
    </r>
    <r>
      <rPr>
        <b/>
        <sz val="8"/>
        <rFont val="Times New Roman"/>
        <charset val="134"/>
      </rPr>
      <t xml:space="preserve">
Tên khách hàng</t>
    </r>
  </si>
  <si>
    <t>TJX</t>
  </si>
  <si>
    <r>
      <rPr>
        <b/>
        <sz val="6.5"/>
        <rFont val="Times New Roman"/>
        <charset val="134"/>
      </rPr>
      <t>ITEM#</t>
    </r>
  </si>
  <si>
    <t xml:space="preserve">WF-1200: SET OF 2  TAPER CANDLES D2.2xH25cm  </t>
  </si>
  <si>
    <r>
      <rPr>
        <b/>
        <sz val="8"/>
        <rFont val="Times New Roman"/>
        <charset val="204"/>
      </rPr>
      <t>Date</t>
    </r>
    <r>
      <rPr>
        <b/>
        <sz val="8"/>
        <rFont val="SimSun"/>
        <charset val="204"/>
      </rPr>
      <t>日期</t>
    </r>
    <r>
      <rPr>
        <b/>
        <sz val="8"/>
        <rFont val="Times New Roman"/>
        <charset val="204"/>
      </rPr>
      <t xml:space="preserve">
 Ngày tháng
 5/21/2026</t>
    </r>
  </si>
  <si>
    <r>
      <rPr>
        <b/>
        <sz val="6.5"/>
        <rFont val="Times New Roman"/>
        <charset val="134"/>
      </rPr>
      <t xml:space="preserve">Wax formula </t>
    </r>
    <r>
      <rPr>
        <b/>
        <sz val="6.5"/>
        <rFont val="SimSun"/>
        <charset val="134"/>
      </rPr>
      <t xml:space="preserve">蜡烛配方 </t>
    </r>
    <r>
      <rPr>
        <b/>
        <sz val="6.5"/>
        <rFont val="Times New Roman"/>
        <charset val="134"/>
      </rPr>
      <t xml:space="preserve">Công
</t>
    </r>
    <r>
      <rPr>
        <b/>
        <sz val="6.5"/>
        <rFont val="Times New Roman"/>
        <charset val="134"/>
      </rPr>
      <t>thức sáp nến</t>
    </r>
  </si>
  <si>
    <r>
      <rPr>
        <b/>
        <sz val="6.5"/>
        <rFont val="Times New Roman"/>
        <charset val="134"/>
      </rPr>
      <t xml:space="preserve">Candle Color </t>
    </r>
    <r>
      <rPr>
        <b/>
        <sz val="6.5"/>
        <rFont val="SimSun"/>
        <charset val="134"/>
      </rPr>
      <t xml:space="preserve">蜡烛色分比例 </t>
    </r>
    <r>
      <rPr>
        <b/>
        <sz val="6.5"/>
        <rFont val="Times New Roman"/>
        <charset val="134"/>
      </rPr>
      <t>Tỷ lệ màu sắc nến</t>
    </r>
  </si>
  <si>
    <t>4059C</t>
  </si>
  <si>
    <t>ST T</t>
  </si>
  <si>
    <r>
      <rPr>
        <b/>
        <sz val="8"/>
        <rFont val="Times New Roman"/>
        <charset val="204"/>
      </rPr>
      <t xml:space="preserve">Burning time
</t>
    </r>
    <r>
      <rPr>
        <b/>
        <sz val="8"/>
        <rFont val="SimSun"/>
        <charset val="204"/>
      </rPr>
      <t xml:space="preserve">燃烧时间 
</t>
    </r>
    <r>
      <rPr>
        <b/>
        <sz val="8"/>
        <rFont val="Times New Roman"/>
        <charset val="204"/>
      </rPr>
      <t>Thời gian đốt</t>
    </r>
  </si>
  <si>
    <r>
      <rPr>
        <b/>
        <sz val="8"/>
        <rFont val="Times New Roman"/>
        <charset val="134"/>
      </rPr>
      <t xml:space="preserve">Flame
height
</t>
    </r>
    <r>
      <rPr>
        <b/>
        <sz val="8"/>
        <rFont val="SimSun"/>
        <charset val="134"/>
      </rPr>
      <t xml:space="preserve">火焰高度 </t>
    </r>
    <r>
      <rPr>
        <b/>
        <sz val="8"/>
        <rFont val="Times New Roman"/>
        <charset val="134"/>
      </rPr>
      <t>Độ cao ngọn lửa</t>
    </r>
  </si>
  <si>
    <r>
      <rPr>
        <b/>
        <sz val="6.5"/>
        <rFont val="Times New Roman"/>
        <charset val="204"/>
      </rPr>
      <t xml:space="preserve">Overflow wax
</t>
    </r>
    <r>
      <rPr>
        <b/>
        <sz val="6.5"/>
        <rFont val="SimSun"/>
        <charset val="204"/>
      </rPr>
      <t xml:space="preserve">流蜡
</t>
    </r>
    <r>
      <rPr>
        <b/>
        <sz val="6.5"/>
        <rFont val="Times New Roman"/>
        <charset val="204"/>
      </rPr>
      <t>Nến chảy</t>
    </r>
  </si>
  <si>
    <r>
      <rPr>
        <b/>
        <sz val="8"/>
        <rFont val="Times New Roman"/>
        <charset val="134"/>
      </rPr>
      <t>Visual Smoke</t>
    </r>
    <r>
      <rPr>
        <b/>
        <sz val="8"/>
        <rFont val="SimSun"/>
        <charset val="134"/>
      </rPr>
      <t xml:space="preserve">黑烟
</t>
    </r>
    <r>
      <rPr>
        <b/>
        <sz val="8"/>
        <rFont val="Times New Roman"/>
        <charset val="134"/>
      </rPr>
      <t>Khói đen</t>
    </r>
  </si>
  <si>
    <r>
      <rPr>
        <b/>
        <sz val="6.5"/>
        <rFont val="Times New Roman"/>
        <charset val="134"/>
      </rPr>
      <t xml:space="preserve">Mushroom Shaped wick
</t>
    </r>
    <r>
      <rPr>
        <b/>
        <sz val="6.5"/>
        <rFont val="SimSun"/>
        <charset val="134"/>
      </rPr>
      <t xml:space="preserve">蘑菇头
</t>
    </r>
    <r>
      <rPr>
        <b/>
        <sz val="6.5"/>
        <rFont val="Times New Roman"/>
        <charset val="134"/>
      </rPr>
      <t>Đầu nấm</t>
    </r>
  </si>
  <si>
    <r>
      <rPr>
        <b/>
        <sz val="6"/>
        <rFont val="Times New Roman"/>
        <charset val="134"/>
      </rPr>
      <t>Auto-extinguishing</t>
    </r>
    <r>
      <rPr>
        <b/>
        <sz val="6.5"/>
        <rFont val="SimSun"/>
        <charset val="134"/>
      </rPr>
      <t>自熄</t>
    </r>
    <r>
      <rPr>
        <b/>
        <sz val="6.5"/>
        <rFont val="Times New Roman"/>
        <charset val="134"/>
      </rPr>
      <t xml:space="preserve">
Tự dập tắt</t>
    </r>
  </si>
  <si>
    <t>Total burning time
Tổng thời gian đốt</t>
  </si>
  <si>
    <t>Burning Photo</t>
  </si>
  <si>
    <t>8h00- 16h30</t>
  </si>
  <si>
    <t>30-50mm</t>
  </si>
  <si>
    <t>YES</t>
  </si>
  <si>
    <t>NO</t>
  </si>
  <si>
    <t>7h30 - 8h</t>
  </si>
  <si>
    <r>
      <rPr>
        <b/>
        <sz val="10"/>
        <color rgb="FF00B050"/>
        <rFont val="Times New Roman"/>
        <charset val="134"/>
      </rPr>
      <t>Burning Normal</t>
    </r>
    <r>
      <rPr>
        <b/>
        <sz val="10"/>
        <color rgb="FF00B050"/>
        <rFont val="SimSun"/>
        <charset val="134"/>
      </rPr>
      <t>燃烧正常</t>
    </r>
  </si>
  <si>
    <t>Normal: V</t>
  </si>
  <si>
    <t>✓</t>
  </si>
  <si>
    <t xml:space="preserve">No Normal: </t>
  </si>
  <si>
    <r>
      <rPr>
        <sz val="11"/>
        <color rgb="FF00B050"/>
        <rFont val="Times New Roman"/>
        <charset val="134"/>
      </rPr>
      <t>Above Burning</t>
    </r>
    <r>
      <rPr>
        <sz val="11"/>
        <color rgb="FF00B050"/>
        <rFont val="SimSun"/>
        <charset val="134"/>
      </rPr>
      <t>以上燃烧</t>
    </r>
  </si>
  <si>
    <t>正常：</t>
  </si>
  <si>
    <r>
      <rPr>
        <sz val="12"/>
        <rFont val="SimSun"/>
        <charset val="204"/>
      </rPr>
      <t>不正常</t>
    </r>
    <r>
      <rPr>
        <sz val="12"/>
        <rFont val="Times New Roman"/>
        <charset val="204"/>
      </rPr>
      <t xml:space="preserve">: </t>
    </r>
  </si>
  <si>
    <r>
      <rPr>
        <sz val="12"/>
        <rFont val="SimSun"/>
        <charset val="134"/>
      </rPr>
      <t>制表人</t>
    </r>
    <r>
      <rPr>
        <sz val="12"/>
        <rFont val="Times New Roman"/>
        <charset val="134"/>
      </rPr>
      <t>:</t>
    </r>
  </si>
  <si>
    <r>
      <rPr>
        <sz val="12"/>
        <color rgb="FF00B050"/>
        <rFont val="Times New Roman"/>
        <charset val="134"/>
      </rPr>
      <t xml:space="preserve">Bình thường : </t>
    </r>
    <r>
      <rPr>
        <sz val="11"/>
        <color rgb="FF00B050"/>
        <rFont val="Times New Roman"/>
        <charset val="134"/>
      </rPr>
      <t>✓</t>
    </r>
  </si>
  <si>
    <t xml:space="preserve">Bất thường : </t>
  </si>
  <si>
    <t>Người lập biểu</t>
  </si>
  <si>
    <t>Nguyễn Trung Hiếu</t>
  </si>
  <si>
    <r>
      <rPr>
        <b/>
        <sz val="6.5"/>
        <rFont val="Times New Roman"/>
        <charset val="204"/>
      </rPr>
      <t xml:space="preserve">Sample No
 </t>
    </r>
    <r>
      <rPr>
        <b/>
        <sz val="6.5"/>
        <rFont val="SimSun"/>
        <charset val="204"/>
      </rPr>
      <t xml:space="preserve">样单号
</t>
    </r>
    <r>
      <rPr>
        <b/>
        <sz val="6.5"/>
        <rFont val="Times New Roman"/>
        <charset val="204"/>
      </rPr>
      <t>Mã số mẫu</t>
    </r>
  </si>
  <si>
    <t>HC0302</t>
  </si>
  <si>
    <r>
      <rPr>
        <b/>
        <sz val="6.5"/>
        <rFont val="Times New Roman"/>
        <charset val="134"/>
      </rPr>
      <t xml:space="preserve">ITEM#
</t>
    </r>
    <r>
      <rPr>
        <b/>
        <sz val="6.5"/>
        <rFont val="SimSun"/>
        <charset val="134"/>
      </rPr>
      <t>描述</t>
    </r>
    <r>
      <rPr>
        <b/>
        <sz val="6.5"/>
        <rFont val="Times New Roman"/>
        <charset val="134"/>
      </rPr>
      <t xml:space="preserve">
Description </t>
    </r>
  </si>
  <si>
    <t>White Seashell Ceramic Jar Scented Candle
D10 × H10 cm</t>
  </si>
  <si>
    <r>
      <rPr>
        <b/>
        <sz val="8"/>
        <rFont val="Times New Roman"/>
        <charset val="204"/>
      </rPr>
      <t xml:space="preserve">Date
(m/d/yyyy)
</t>
    </r>
    <r>
      <rPr>
        <b/>
        <sz val="8"/>
        <rFont val="SimSun"/>
        <charset val="204"/>
      </rPr>
      <t>日期</t>
    </r>
    <r>
      <rPr>
        <b/>
        <sz val="8"/>
        <rFont val="Times New Roman"/>
        <charset val="204"/>
      </rPr>
      <t xml:space="preserve">
 Ngày tháng
 10/15/2026</t>
    </r>
  </si>
  <si>
    <r>
      <rPr>
        <b/>
        <sz val="6.5"/>
        <rFont val="Times New Roman"/>
        <charset val="204"/>
      </rPr>
      <t xml:space="preserve">Wax formula
 </t>
    </r>
    <r>
      <rPr>
        <b/>
        <sz val="6.5"/>
        <rFont val="SimSun"/>
        <charset val="204"/>
      </rPr>
      <t xml:space="preserve">蜡烛配方 
</t>
    </r>
    <r>
      <rPr>
        <b/>
        <sz val="6.5"/>
        <rFont val="Times New Roman"/>
        <charset val="204"/>
      </rPr>
      <t>Công thức sáp nến</t>
    </r>
  </si>
  <si>
    <t>40%53 + 5%170 + 15%52# + 40%54 +0.3% WU360</t>
  </si>
  <si>
    <r>
      <rPr>
        <b/>
        <sz val="6.5"/>
        <rFont val="Times New Roman"/>
        <charset val="204"/>
      </rPr>
      <t xml:space="preserve">Candle Color 
</t>
    </r>
    <r>
      <rPr>
        <b/>
        <sz val="6.5"/>
        <rFont val="SimSun"/>
        <charset val="204"/>
      </rPr>
      <t xml:space="preserve">蜡烛色分比例 
</t>
    </r>
    <r>
      <rPr>
        <b/>
        <sz val="6.5"/>
        <rFont val="Times New Roman"/>
        <charset val="204"/>
      </rPr>
      <t>Tỷ lệ màu sắc nến</t>
    </r>
  </si>
  <si>
    <r>
      <rPr>
        <b/>
        <sz val="12"/>
        <rFont val="SimSun"/>
        <charset val="134"/>
      </rPr>
      <t xml:space="preserve">白色 </t>
    </r>
    <r>
      <rPr>
        <b/>
        <sz val="12"/>
        <rFont val="Times New Roman"/>
        <charset val="134"/>
      </rPr>
      <t>White</t>
    </r>
  </si>
  <si>
    <r>
      <rPr>
        <b/>
        <sz val="8"/>
        <rFont val="Times New Roman"/>
        <charset val="134"/>
      </rPr>
      <t>Self-</t>
    </r>
    <r>
      <rPr>
        <b/>
        <sz val="6"/>
        <rFont val="Times New Roman"/>
        <charset val="134"/>
      </rPr>
      <t>Extinguishing</t>
    </r>
    <r>
      <rPr>
        <b/>
        <sz val="8"/>
        <rFont val="Times New Roman"/>
        <charset val="134"/>
      </rPr>
      <t xml:space="preserve">
</t>
    </r>
    <r>
      <rPr>
        <b/>
        <sz val="8"/>
        <rFont val="SimSun"/>
        <charset val="134"/>
      </rPr>
      <t xml:space="preserve">自熄 
</t>
    </r>
    <r>
      <rPr>
        <b/>
        <sz val="8"/>
        <rFont val="Times New Roman"/>
        <charset val="134"/>
      </rPr>
      <t>Tự dập tắt</t>
    </r>
  </si>
  <si>
    <r>
      <rPr>
        <sz val="8"/>
        <rFont val="Times New Roman"/>
        <charset val="134"/>
      </rPr>
      <t>(hh:mm - mm/dd/yyyy)</t>
    </r>
    <r>
      <rPr>
        <sz val="10"/>
        <rFont val="Times New Roman"/>
        <charset val="134"/>
      </rPr>
      <t xml:space="preserve">
7h30 - 10/15/2026
16h30 - 10/20/2026</t>
    </r>
  </si>
  <si>
    <t>23- 38 mm</t>
  </si>
  <si>
    <t>Burning Normal燃烧正常</t>
  </si>
  <si>
    <t>Normal:</t>
  </si>
  <si>
    <t>✔</t>
  </si>
  <si>
    <r>
      <rPr>
        <sz val="10"/>
        <rFont val="Times New Roman"/>
        <charset val="134"/>
      </rPr>
      <t>Above Burning</t>
    </r>
    <r>
      <rPr>
        <sz val="10"/>
        <rFont val="SimSun"/>
        <charset val="134"/>
      </rPr>
      <t>以上燃烧</t>
    </r>
  </si>
  <si>
    <r>
      <rPr>
        <sz val="12"/>
        <color rgb="FF000000"/>
        <rFont val="SimSun"/>
        <charset val="204"/>
      </rPr>
      <t>不正常</t>
    </r>
    <r>
      <rPr>
        <sz val="12"/>
        <color rgb="FF000000"/>
        <rFont val="Times New Roman"/>
        <charset val="204"/>
      </rPr>
      <t xml:space="preserve">: </t>
    </r>
  </si>
  <si>
    <t>Bình thường : 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</si>
</sst>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60">
    <font>
      <sz val="11"/>
      <color theme="1"/>
      <name val="Times New Roman"/>
      <charset val="134"/>
    </font>
    <font>
      <sz val="10"/>
      <color rgb="FF000000"/>
      <name val="Times New Roman"/>
      <charset val="204"/>
    </font>
    <font>
      <b/>
      <sz val="11"/>
      <name val="Times New Roman"/>
      <charset val="134"/>
    </font>
    <font>
      <b/>
      <sz val="14"/>
      <name val="Times New Roman"/>
      <charset val="134"/>
    </font>
    <font>
      <sz val="14"/>
      <color rgb="FF000000"/>
      <name val="Times New Roman"/>
      <charset val="204"/>
    </font>
    <font>
      <b/>
      <sz val="6.5"/>
      <name val="Times New Roman"/>
      <charset val="204"/>
    </font>
    <font>
      <b/>
      <sz val="16"/>
      <name val="Times New Roman"/>
      <charset val="134"/>
    </font>
    <font>
      <b/>
      <sz val="8"/>
      <name val="Times New Roman"/>
      <charset val="134"/>
    </font>
    <font>
      <b/>
      <sz val="6.5"/>
      <name val="Times New Roman"/>
      <charset val="134"/>
    </font>
    <font>
      <b/>
      <sz val="8"/>
      <name val="Times New Roman"/>
      <charset val="204"/>
    </font>
    <font>
      <sz val="10"/>
      <name val="Times New Roman"/>
      <charset val="134"/>
    </font>
    <font>
      <b/>
      <sz val="12"/>
      <name val="SimSun"/>
      <charset val="134"/>
    </font>
    <font>
      <b/>
      <sz val="12"/>
      <name val="Times New Roman"/>
      <charset val="134"/>
    </font>
    <font>
      <b/>
      <sz val="20"/>
      <name val="Times New Roman"/>
      <charset val="134"/>
    </font>
    <font>
      <sz val="10"/>
      <color rgb="FF000000"/>
      <name val="Times New Roman"/>
      <charset val="134"/>
    </font>
    <font>
      <sz val="8"/>
      <name val="Times New Roman"/>
      <charset val="134"/>
    </font>
    <font>
      <sz val="10"/>
      <name val="Calibri"/>
      <charset val="134"/>
    </font>
    <font>
      <b/>
      <sz val="12"/>
      <color rgb="FF00B050"/>
      <name val="Times New Roman"/>
      <charset val="134"/>
    </font>
    <font>
      <sz val="12"/>
      <color rgb="FF000000"/>
      <name val="Times New Roman"/>
      <charset val="204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theme="1"/>
      <name val="SimSun"/>
      <charset val="134"/>
    </font>
    <font>
      <sz val="12"/>
      <color rgb="FF000000"/>
      <name val="SimSun"/>
      <charset val="204"/>
    </font>
    <font>
      <sz val="12"/>
      <name val="SimSun"/>
      <charset val="134"/>
    </font>
    <font>
      <b/>
      <sz val="9"/>
      <name val="Times New Roman"/>
      <charset val="134"/>
    </font>
    <font>
      <b/>
      <sz val="6"/>
      <name val="Times New Roman"/>
      <charset val="134"/>
    </font>
    <font>
      <b/>
      <sz val="10"/>
      <color rgb="FF00B050"/>
      <name val="Times New Roman"/>
      <charset val="134"/>
    </font>
    <font>
      <sz val="12"/>
      <color rgb="FF00B050"/>
      <name val="Times New Roman"/>
      <charset val="204"/>
    </font>
    <font>
      <sz val="12"/>
      <color rgb="FF00B050"/>
      <name val="Times New Roman"/>
      <charset val="134"/>
    </font>
    <font>
      <sz val="11"/>
      <color rgb="FF00B050"/>
      <name val="Times New Roman"/>
      <charset val="134"/>
    </font>
    <font>
      <sz val="12"/>
      <color rgb="FF00B050"/>
      <name val="SimSun"/>
      <charset val="134"/>
    </font>
    <font>
      <sz val="12"/>
      <name val="SimSun"/>
      <charset val="204"/>
    </font>
    <font>
      <sz val="12"/>
      <name val="Times New Roman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6.5"/>
      <name val="SimSun"/>
      <charset val="204"/>
    </font>
    <font>
      <sz val="10"/>
      <name val="SimSun"/>
      <charset val="134"/>
    </font>
    <font>
      <b/>
      <sz val="8"/>
      <name val="SimSun"/>
      <charset val="204"/>
    </font>
    <font>
      <b/>
      <sz val="6.5"/>
      <name val="SimSun"/>
      <charset val="134"/>
    </font>
    <font>
      <b/>
      <sz val="14"/>
      <name val="SimSun"/>
      <charset val="134"/>
    </font>
    <font>
      <b/>
      <sz val="8"/>
      <name val="SimSun"/>
      <charset val="134"/>
    </font>
    <font>
      <b/>
      <sz val="10"/>
      <color rgb="FF00B050"/>
      <name val="SimSun"/>
      <charset val="134"/>
    </font>
    <font>
      <sz val="11"/>
      <color rgb="FF00B050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2" borderId="22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23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3" borderId="25" applyNumberFormat="0" applyAlignment="0" applyProtection="0">
      <alignment vertical="center"/>
    </xf>
    <xf numFmtId="0" fontId="42" fillId="4" borderId="26" applyNumberFormat="0" applyAlignment="0" applyProtection="0">
      <alignment vertical="center"/>
    </xf>
    <xf numFmtId="0" fontId="43" fillId="4" borderId="25" applyNumberFormat="0" applyAlignment="0" applyProtection="0">
      <alignment vertical="center"/>
    </xf>
    <xf numFmtId="0" fontId="44" fillId="5" borderId="27" applyNumberFormat="0" applyAlignment="0" applyProtection="0">
      <alignment vertical="center"/>
    </xf>
    <xf numFmtId="0" fontId="45" fillId="0" borderId="28" applyNumberFormat="0" applyFill="0" applyAlignment="0" applyProtection="0">
      <alignment vertical="center"/>
    </xf>
    <xf numFmtId="0" fontId="46" fillId="0" borderId="29" applyNumberFormat="0" applyFill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</cellStyleXfs>
  <cellXfs count="138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top" wrapText="1"/>
    </xf>
    <xf numFmtId="0" fontId="9" fillId="0" borderId="5" xfId="0" applyFont="1" applyFill="1" applyBorder="1" applyAlignment="1">
      <alignment horizontal="center" vertical="top" wrapText="1"/>
    </xf>
    <xf numFmtId="0" fontId="7" fillId="0" borderId="5" xfId="0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horizontal="left" vertical="top" wrapText="1"/>
    </xf>
    <xf numFmtId="0" fontId="7" fillId="0" borderId="5" xfId="0" applyFont="1" applyFill="1" applyBorder="1" applyAlignment="1">
      <alignment horizontal="left" vertical="top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1" fontId="14" fillId="0" borderId="7" xfId="0" applyNumberFormat="1" applyFont="1" applyFill="1" applyBorder="1" applyAlignment="1">
      <alignment horizontal="center" vertical="center" shrinkToFit="1"/>
    </xf>
    <xf numFmtId="0" fontId="15" fillId="0" borderId="7" xfId="0" applyFont="1" applyFill="1" applyBorder="1" applyAlignment="1">
      <alignment horizontal="left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left" vertical="center" wrapText="1" indent="2"/>
    </xf>
    <xf numFmtId="0" fontId="1" fillId="0" borderId="8" xfId="0" applyFont="1" applyFill="1" applyBorder="1" applyAlignment="1">
      <alignment horizontal="left" vertical="top"/>
    </xf>
    <xf numFmtId="0" fontId="1" fillId="0" borderId="9" xfId="0" applyFont="1" applyFill="1" applyBorder="1" applyAlignment="1">
      <alignment horizontal="left" vertical="top"/>
    </xf>
    <xf numFmtId="1" fontId="14" fillId="0" borderId="10" xfId="0" applyNumberFormat="1" applyFont="1" applyFill="1" applyBorder="1" applyAlignment="1">
      <alignment horizontal="center" vertical="center" shrinkToFit="1"/>
    </xf>
    <xf numFmtId="0" fontId="10" fillId="0" borderId="10" xfId="0" applyFont="1" applyFill="1" applyBorder="1" applyAlignment="1">
      <alignment horizontal="left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left" vertical="center" wrapText="1" indent="2"/>
    </xf>
    <xf numFmtId="0" fontId="1" fillId="0" borderId="5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/>
    </xf>
    <xf numFmtId="0" fontId="1" fillId="0" borderId="11" xfId="0" applyFont="1" applyFill="1" applyBorder="1" applyAlignment="1">
      <alignment horizontal="left" vertical="top" wrapText="1"/>
    </xf>
    <xf numFmtId="0" fontId="1" fillId="0" borderId="12" xfId="0" applyFont="1" applyFill="1" applyBorder="1" applyAlignment="1">
      <alignment horizontal="left" vertical="top"/>
    </xf>
    <xf numFmtId="0" fontId="1" fillId="0" borderId="7" xfId="0" applyFont="1" applyFill="1" applyBorder="1" applyAlignment="1">
      <alignment horizontal="left" vertical="top" wrapText="1"/>
    </xf>
    <xf numFmtId="0" fontId="17" fillId="0" borderId="3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vertical="center" wrapText="1"/>
    </xf>
    <xf numFmtId="0" fontId="19" fillId="0" borderId="0" xfId="0" applyFont="1" applyFill="1" applyAlignment="1">
      <alignment horizontal="left"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left" vertical="center" wrapText="1"/>
    </xf>
    <xf numFmtId="0" fontId="21" fillId="0" borderId="0" xfId="0" applyFont="1" applyFill="1" applyBorder="1" applyAlignment="1">
      <alignment horizontal="left" vertical="center" wrapText="1"/>
    </xf>
    <xf numFmtId="0" fontId="22" fillId="0" borderId="0" xfId="0" applyFont="1" applyFill="1" applyAlignment="1">
      <alignment horizontal="left" vertical="center" wrapText="1"/>
    </xf>
    <xf numFmtId="0" fontId="18" fillId="0" borderId="0" xfId="0" applyFont="1" applyFill="1" applyAlignment="1">
      <alignment horizontal="left" vertical="center" wrapText="1"/>
    </xf>
    <xf numFmtId="0" fontId="18" fillId="0" borderId="0" xfId="0" applyFont="1" applyFill="1" applyBorder="1" applyAlignment="1">
      <alignment horizontal="left" vertical="center"/>
    </xf>
    <xf numFmtId="0" fontId="23" fillId="0" borderId="0" xfId="0" applyFont="1" applyFill="1" applyBorder="1" applyAlignment="1">
      <alignment horizontal="left" vertical="center" wrapText="1"/>
    </xf>
    <xf numFmtId="0" fontId="20" fillId="0" borderId="0" xfId="0" applyFont="1" applyFill="1" applyAlignment="1">
      <alignment horizontal="left" vertical="center" wrapText="1"/>
    </xf>
    <xf numFmtId="0" fontId="20" fillId="0" borderId="0" xfId="0" applyFont="1" applyFill="1" applyAlignment="1">
      <alignment vertical="center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top" wrapText="1"/>
    </xf>
    <xf numFmtId="0" fontId="1" fillId="0" borderId="14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top" wrapText="1"/>
    </xf>
    <xf numFmtId="0" fontId="1" fillId="0" borderId="15" xfId="0" applyFont="1" applyFill="1" applyBorder="1" applyAlignment="1">
      <alignment horizontal="center" vertical="top" wrapText="1"/>
    </xf>
    <xf numFmtId="0" fontId="1" fillId="0" borderId="16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vertical="center" wrapText="1"/>
    </xf>
    <xf numFmtId="0" fontId="24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top" wrapText="1"/>
    </xf>
    <xf numFmtId="0" fontId="1" fillId="0" borderId="18" xfId="0" applyFont="1" applyFill="1" applyBorder="1" applyAlignment="1">
      <alignment horizontal="center" vertical="top" wrapText="1"/>
    </xf>
    <xf numFmtId="0" fontId="8" fillId="0" borderId="5" xfId="0" applyFont="1" applyFill="1" applyBorder="1" applyAlignment="1">
      <alignment horizontal="center" vertical="top" wrapText="1"/>
    </xf>
    <xf numFmtId="0" fontId="7" fillId="0" borderId="5" xfId="0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horizontal="left" vertical="top" wrapText="1"/>
    </xf>
    <xf numFmtId="0" fontId="7" fillId="0" borderId="5" xfId="0" applyFont="1" applyFill="1" applyBorder="1" applyAlignment="1">
      <alignment horizontal="left" vertical="top" wrapText="1"/>
    </xf>
    <xf numFmtId="0" fontId="25" fillId="0" borderId="5" xfId="0" applyFont="1" applyFill="1" applyBorder="1" applyAlignment="1">
      <alignment horizontal="center" vertical="top" wrapText="1"/>
    </xf>
    <xf numFmtId="0" fontId="12" fillId="0" borderId="19" xfId="0" applyFont="1" applyFill="1" applyBorder="1" applyAlignment="1">
      <alignment horizontal="center" vertical="center" wrapText="1"/>
    </xf>
    <xf numFmtId="0" fontId="12" fillId="0" borderId="20" xfId="0" applyFont="1" applyFill="1" applyBorder="1" applyAlignment="1">
      <alignment horizontal="center" vertical="center" wrapText="1"/>
    </xf>
    <xf numFmtId="1" fontId="14" fillId="0" borderId="7" xfId="0" applyNumberFormat="1" applyFont="1" applyFill="1" applyBorder="1" applyAlignment="1">
      <alignment horizontal="center" vertical="center" shrinkToFit="1"/>
    </xf>
    <xf numFmtId="0" fontId="10" fillId="0" borderId="7" xfId="0" applyFont="1" applyFill="1" applyBorder="1" applyAlignment="1">
      <alignment horizontal="left" vertical="center" wrapText="1" indent="3"/>
    </xf>
    <xf numFmtId="0" fontId="10" fillId="0" borderId="7" xfId="0" applyFont="1" applyFill="1" applyBorder="1" applyAlignment="1">
      <alignment horizontal="left" vertical="center" wrapText="1"/>
    </xf>
    <xf numFmtId="0" fontId="16" fillId="0" borderId="7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left" vertical="center" wrapText="1" indent="2"/>
    </xf>
    <xf numFmtId="0" fontId="1" fillId="0" borderId="21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 wrapText="1"/>
    </xf>
    <xf numFmtId="1" fontId="14" fillId="0" borderId="10" xfId="0" applyNumberFormat="1" applyFont="1" applyFill="1" applyBorder="1" applyAlignment="1">
      <alignment horizontal="center" vertical="center" shrinkToFit="1"/>
    </xf>
    <xf numFmtId="0" fontId="10" fillId="0" borderId="10" xfId="0" applyFont="1" applyFill="1" applyBorder="1" applyAlignment="1">
      <alignment horizontal="left" vertical="center" wrapText="1" indent="3"/>
    </xf>
    <xf numFmtId="0" fontId="10" fillId="0" borderId="10" xfId="0" applyFont="1" applyFill="1" applyBorder="1" applyAlignment="1">
      <alignment horizontal="left" vertical="center" wrapText="1"/>
    </xf>
    <xf numFmtId="0" fontId="16" fillId="0" borderId="10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left" vertical="center" wrapText="1" indent="2"/>
    </xf>
    <xf numFmtId="0" fontId="1" fillId="0" borderId="5" xfId="0" applyFont="1" applyFill="1" applyBorder="1" applyAlignment="1">
      <alignment horizontal="left" vertical="top" wrapText="1"/>
    </xf>
    <xf numFmtId="0" fontId="1" fillId="0" borderId="7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 wrapText="1"/>
    </xf>
    <xf numFmtId="0" fontId="26" fillId="0" borderId="3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left" vertical="center" wrapText="1"/>
    </xf>
    <xf numFmtId="0" fontId="28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29" fillId="0" borderId="0" xfId="0" applyFont="1" applyFill="1" applyAlignment="1">
      <alignment horizontal="center" vertical="center" wrapText="1"/>
    </xf>
    <xf numFmtId="0" fontId="29" fillId="0" borderId="0" xfId="0" applyFont="1" applyFill="1" applyAlignment="1">
      <alignment horizontal="left" vertical="center" wrapText="1"/>
    </xf>
    <xf numFmtId="0" fontId="30" fillId="0" borderId="0" xfId="0" applyFont="1" applyFill="1" applyBorder="1" applyAlignment="1">
      <alignment horizontal="left" vertical="center" wrapText="1"/>
    </xf>
    <xf numFmtId="0" fontId="31" fillId="0" borderId="0" xfId="0" applyFont="1" applyFill="1" applyAlignment="1">
      <alignment horizontal="left" vertical="center" wrapText="1"/>
    </xf>
    <xf numFmtId="0" fontId="32" fillId="0" borderId="0" xfId="0" applyFont="1" applyFill="1" applyAlignment="1">
      <alignment horizontal="left" vertical="center" wrapText="1"/>
    </xf>
    <xf numFmtId="0" fontId="23" fillId="0" borderId="0" xfId="0" applyFont="1" applyFill="1" applyBorder="1" applyAlignment="1">
      <alignment horizontal="left" vertical="center" wrapText="1"/>
    </xf>
    <xf numFmtId="0" fontId="28" fillId="0" borderId="0" xfId="0" applyFont="1" applyFill="1" applyAlignment="1">
      <alignment horizontal="left" vertical="center" wrapText="1"/>
    </xf>
    <xf numFmtId="0" fontId="20" fillId="0" borderId="0" xfId="0" applyFont="1" applyFill="1" applyAlignment="1">
      <alignment horizontal="left" vertical="center" wrapText="1"/>
    </xf>
    <xf numFmtId="0" fontId="20" fillId="0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5.jpeg"/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7.xml"/><Relationship Id="rId8" Type="http://schemas.openxmlformats.org/officeDocument/2006/relationships/externalLink" Target="externalLinks/externalLink6.xml"/><Relationship Id="rId7" Type="http://schemas.openxmlformats.org/officeDocument/2006/relationships/externalLink" Target="externalLinks/externalLink5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www.wps.cn/officeDocument/2020/cellImage" Target="cellimag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</xdr:colOff>
      <xdr:row>0</xdr:row>
      <xdr:rowOff>9525</xdr:rowOff>
    </xdr:from>
    <xdr:ext cx="873125" cy="45529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9525" y="9525"/>
          <a:ext cx="873125" cy="455295"/>
        </a:xfrm>
        <a:prstGeom prst="rect">
          <a:avLst/>
        </a:prstGeom>
      </xdr:spPr>
    </xdr:pic>
    <xdr:clientData/>
  </xdr:oneCellAnchor>
  <xdr:twoCellAnchor editAs="oneCell">
    <xdr:from>
      <xdr:col>16</xdr:col>
      <xdr:colOff>466725</xdr:colOff>
      <xdr:row>8</xdr:row>
      <xdr:rowOff>867410</xdr:rowOff>
    </xdr:from>
    <xdr:to>
      <xdr:col>17</xdr:col>
      <xdr:colOff>0</xdr:colOff>
      <xdr:row>8</xdr:row>
      <xdr:rowOff>903605</xdr:rowOff>
    </xdr:to>
    <xdr:pic>
      <xdr:nvPicPr>
        <xdr:cNvPr id="3" name="ID_1DF3600CE16D4F31A894815A9E7ACC25" descr="11574e6dea891618060dea874028b0f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487150" y="5718810"/>
          <a:ext cx="47625" cy="36195"/>
        </a:xfrm>
        <a:prstGeom prst="rect">
          <a:avLst/>
        </a:prstGeom>
      </xdr:spPr>
    </xdr:pic>
    <xdr:clientData/>
  </xdr:twoCellAnchor>
  <xdr:twoCellAnchor editAs="oneCell">
    <xdr:from>
      <xdr:col>3</xdr:col>
      <xdr:colOff>466725</xdr:colOff>
      <xdr:row>5</xdr:row>
      <xdr:rowOff>19050</xdr:rowOff>
    </xdr:from>
    <xdr:to>
      <xdr:col>4</xdr:col>
      <xdr:colOff>344170</xdr:colOff>
      <xdr:row>5</xdr:row>
      <xdr:rowOff>315595</xdr:rowOff>
    </xdr:to>
    <xdr:pic>
      <xdr:nvPicPr>
        <xdr:cNvPr id="4" name="Picture 3" descr="f9b2b11f497f50d6a70e9799535121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47925" y="2597150"/>
          <a:ext cx="363220" cy="296545"/>
        </a:xfrm>
        <a:prstGeom prst="rect">
          <a:avLst/>
        </a:prstGeom>
      </xdr:spPr>
    </xdr:pic>
    <xdr:clientData/>
  </xdr:twoCellAnchor>
  <xdr:oneCellAnchor>
    <xdr:from>
      <xdr:col>8</xdr:col>
      <xdr:colOff>676275</xdr:colOff>
      <xdr:row>13</xdr:row>
      <xdr:rowOff>106680</xdr:rowOff>
    </xdr:from>
    <xdr:ext cx="2851785" cy="890905"/>
    <xdr:sp>
      <xdr:nvSpPr>
        <xdr:cNvPr id="5" name="Rectangle 4"/>
        <xdr:cNvSpPr/>
      </xdr:nvSpPr>
      <xdr:spPr>
        <a:xfrm rot="20220000">
          <a:off x="5619750" y="9949180"/>
          <a:ext cx="2851785" cy="890905"/>
        </a:xfrm>
        <a:prstGeom prst="rect">
          <a:avLst/>
        </a:prstGeom>
        <a:ln>
          <a:solidFill>
            <a:srgbClr val="00B05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00B050"/>
              </a:solidFill>
            </a14:hiddenFill>
          </a:ext>
        </a:extLst>
      </xdr:spPr>
      <xdr:style>
        <a:lnRef idx="2">
          <a:schemeClr val="accent4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wrap="square" rtlCol="0" anchor="t">
          <a:spAutoFit/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4800" b="1">
              <a:solidFill>
                <a:srgbClr val="00B050"/>
              </a:solidFill>
              <a:effectLst/>
              <a:latin typeface="Arial" panose="020B0604020202020204" pitchFamily="7" charset="0"/>
              <a:cs typeface="Arial" panose="020B0604020202020204" pitchFamily="7" charset="0"/>
            </a:rPr>
            <a:t>PASS</a:t>
          </a:r>
          <a:endParaRPr lang="en-US" altLang="zh-CN" sz="4800" b="1">
            <a:solidFill>
              <a:srgbClr val="00B050"/>
            </a:solidFill>
            <a:effectLst/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133985</xdr:colOff>
      <xdr:row>0</xdr:row>
      <xdr:rowOff>47625</xdr:rowOff>
    </xdr:from>
    <xdr:ext cx="796925" cy="45529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33985" y="47625"/>
          <a:ext cx="796925" cy="455295"/>
        </a:xfrm>
        <a:prstGeom prst="rect">
          <a:avLst/>
        </a:prstGeom>
      </xdr:spPr>
    </xdr:pic>
    <xdr:clientData/>
  </xdr:oneCellAnchor>
  <xdr:oneCellAnchor>
    <xdr:from>
      <xdr:col>9</xdr:col>
      <xdr:colOff>647700</xdr:colOff>
      <xdr:row>14</xdr:row>
      <xdr:rowOff>139700</xdr:rowOff>
    </xdr:from>
    <xdr:ext cx="2851785" cy="890905"/>
    <xdr:sp>
      <xdr:nvSpPr>
        <xdr:cNvPr id="3" name="Rectangle 2"/>
        <xdr:cNvSpPr/>
      </xdr:nvSpPr>
      <xdr:spPr>
        <a:xfrm rot="20220000">
          <a:off x="7247255" y="11493500"/>
          <a:ext cx="2851785" cy="890905"/>
        </a:xfrm>
        <a:prstGeom prst="rect">
          <a:avLst/>
        </a:prstGeom>
        <a:ln>
          <a:solidFill>
            <a:srgbClr val="00B05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00B050"/>
              </a:solidFill>
            </a14:hiddenFill>
          </a:ext>
        </a:extLst>
      </xdr:spPr>
      <xdr:style>
        <a:lnRef idx="2">
          <a:schemeClr val="accent4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overflow" horzOverflow="overflow" wrap="square" rtlCol="0" anchor="t">
          <a:spAutoFit/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4800" b="1">
              <a:solidFill>
                <a:srgbClr val="00B050"/>
              </a:solidFill>
              <a:effectLst/>
              <a:latin typeface="Arial" panose="020B0604020202020204" pitchFamily="7" charset="0"/>
              <a:cs typeface="Arial" panose="020B0604020202020204" pitchFamily="7" charset="0"/>
            </a:rPr>
            <a:t>PASS</a:t>
          </a:r>
          <a:endParaRPr lang="en-US" altLang="zh-CN" sz="4800" b="1">
            <a:solidFill>
              <a:srgbClr val="00B050"/>
            </a:solidFill>
            <a:effectLst/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UC\TIEN%20LUONG\LUONG%202014\th&#225;ng%204\them%20MST%20CHOT%20CHUAN%20NGAY%2016.5%20LUONG%20SX%20NM%20CST4.14_2_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9\hcns$\HE%20THONG\HCNS%20-%20CHAU%20SON\LUONG\2014\T07\12.08%20L&#431;&#416;NG%20%20KHO%20QUAI%20T7%20%20201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uan_dao\Desktop\Excel\Others\Ha%20Linh%20Co.%20Ltd%20ngay%207-08-09\Danh%20sach,%20Cham%20Cong%20va%20Bang%20Luong_Thang%2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tuan_dao\Desktop\Excel\Others\Ha%20Linh%20Co.%20Ltd%20ngay%207-08-09\Ha%20Linh%20Co.Ltd_Luong%20San%20Pham_Thang%2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CHINH\SGS\So%20theo%20doi%20thai%20san%20va%20con%20nho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B&#7843;ng%20bi&#7875;u%20IPQC%20&#24033;&#26816;&#25253;&#21578;%20Q\B&#225;o%20c&#225;o%20b&#225;n%20th&#224;nh%20ph&#7849;m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esktop\&#35746;&#21333;&#29983;&#20135;&#26126;&#32454;&#34920;%20-%20&#26368;&#26032;%202026.03.6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Theo%20d&#245;i%20tes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hay đổi lương"/>
      <sheetName val="A.linh"/>
      <sheetName val="TIEN COM"/>
      <sheetName val="CƠM "/>
      <sheetName val="Control"/>
      <sheetName val="CONG"/>
      <sheetName val="TONG LUONG"/>
      <sheetName val="LUONG BSCI"/>
      <sheetName val="LUONG CN"/>
      <sheetName val="BC IN"/>
      <sheetName val="LUONG IN"/>
      <sheetName val="LUONG IN BSCI"/>
      <sheetName val="BC SX TRANG"/>
      <sheetName val="BC BTP TRANG"/>
      <sheetName val="LUONG TRANG"/>
      <sheetName val="LUONG TRANG BSCI"/>
      <sheetName val="SP-LUONG CAT THAN"/>
      <sheetName val="SP-LUONG DAP"/>
      <sheetName val="Luong dap cuc"/>
      <sheetName val="SP-LUONG KCSPL"/>
      <sheetName val="SP-LUONG CAT NHIET"/>
      <sheetName val="T.truong"/>
      <sheetName val="HOAN THIEN"/>
      <sheetName val="Thanh to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hi  chú "/>
      <sheetName val="Thay doi"/>
      <sheetName val="Control"/>
      <sheetName val="cong"/>
      <sheetName val="TONG LUONG"/>
      <sheetName val="TONG LUONG BSCI"/>
      <sheetName val="TONG LUONG CN"/>
      <sheetName val="BOC XEP - KHO"/>
      <sheetName val="SOI "/>
      <sheetName val="DET"/>
      <sheetName val="QUAI"/>
      <sheetName val="ATM"/>
      <sheetName val="ATM_BIDV_KHO"/>
      <sheetName val="TM KHO2"/>
      <sheetName val="ATM_VIETINBANK_QUAI"/>
      <sheetName val="TM_QUAI1"/>
      <sheetName val="ATM_BIDV_QUAI"/>
      <sheetName val="TM_QUAI2"/>
      <sheetName val="ATM VIET TINBAK BAN KIEM SO "/>
      <sheetName val="TM BKS 1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ucluc"/>
      <sheetName val="Danh sách CBCNV"/>
      <sheetName val="Bảng Chấm Công"/>
      <sheetName val="Bảng thanh toán lương"/>
      <sheetName val="Sổ Theo Dõi Phép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ucluc"/>
      <sheetName val="Tổng hợp"/>
      <sheetName val="Đơn hàng 535"/>
      <sheetName val="Tổng Hợp Lương Khoá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ổ Thai Sản Con Nhỏ (2)"/>
      <sheetName val="Sổ Thai Sản Con Nhỏ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AQL"/>
      <sheetName val="Thống kê báo cáo hàng ngày"/>
      <sheetName val="khachang"/>
      <sheetName val="data"/>
      <sheetName val="Số liệu báo cáo"/>
      <sheetName val="Filling wax - chuyền rót nến"/>
      <sheetName val="CHECK  Report"/>
      <sheetName val="WICK- Cắm bấc"/>
      <sheetName val="Phòng rót - Filling Room"/>
      <sheetName val="Tiêu chuẩn"/>
      <sheetName val="NOTE"/>
      <sheetName val="phân loại lỗi"/>
      <sheetName val="Nhật ký SX"/>
      <sheetName val="BÌA S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总表"/>
      <sheetName val="订单明细表"/>
      <sheetName val="Sheet1"/>
      <sheetName val="灌腊明细"/>
      <sheetName val="包装明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DS NV QC "/>
      <sheetName val="In ảnh"/>
      <sheetName val="test lại"/>
      <sheetName val="1.Daily data"/>
      <sheetName val="2.TEST"/>
      <sheetName val="3.Weekly Report"/>
      <sheetName val="4.DSKH"/>
      <sheetName val="5.Mẫu báo cáo"/>
      <sheetName val="tbl"/>
      <sheetName val="Tính số thùng"/>
      <sheetName val="7.Burning test report TJX"/>
      <sheetName val="6.Burning test report Mosaic"/>
      <sheetName val="8.Temperature Chart "/>
      <sheetName val="9.1Tiêu chuẩn CHÁY"/>
      <sheetName val="9.Tiêu chuẩn"/>
      <sheetName val="10.ƯỚC TÍNH THỜI GIAN"/>
      <sheetName val="DS Kirkland's, Inc."/>
      <sheetName val="CHECK MOSAIC REPORT"/>
      <sheetName val="CHECK PO"/>
      <sheetName val="℃"/>
      <sheetName val="phiếu ĐỐT A4"/>
      <sheetName val="File 02"/>
      <sheetName val="File 03"/>
      <sheetName val="File 04"/>
      <sheetName val="STT"/>
      <sheetName val="STT (H)"/>
      <sheetName val="IN SKU"/>
      <sheetName val="IN PO-SKU"/>
      <sheetName val="phiếu ĐỐT A5"/>
      <sheetName val="LUU MAU"/>
      <sheetName val="in"/>
      <sheetName val="Tem kiểm định"/>
      <sheetName val="Ô số"/>
      <sheetName val="BÌA SỔ"/>
      <sheetName val="Sheet1"/>
      <sheetName val="Thiết bị kiểm định"/>
      <sheetName val="cân bì"/>
      <sheetName val="in dấu chữ"/>
      <sheetName val="in dấu chữ 2"/>
      <sheetName val="in dấu chữ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4"/>
  </sheetPr>
  <dimension ref="A1:J16"/>
  <sheetViews>
    <sheetView view="pageBreakPreview" zoomScaleNormal="100" topLeftCell="A7" workbookViewId="0">
      <selection activeCell="H8" sqref="H8:H12"/>
    </sheetView>
  </sheetViews>
  <sheetFormatPr defaultColWidth="7.71428571428571" defaultRowHeight="12.75"/>
  <cols>
    <col min="1" max="1" width="4.71428571428571" style="64" customWidth="1"/>
    <col min="2" max="2" width="17" style="64" customWidth="1"/>
    <col min="3" max="3" width="8" style="64" customWidth="1"/>
    <col min="4" max="7" width="7.28571428571429" style="64" customWidth="1"/>
    <col min="8" max="8" width="15.2857142857143" style="64" customWidth="1"/>
    <col min="9" max="10" width="22.4285714285714" style="64" customWidth="1"/>
    <col min="11" max="16384" width="7.71428571428571" style="64"/>
  </cols>
  <sheetData>
    <row r="1" s="64" customFormat="1" ht="41" customHeight="1" spans="1:10">
      <c r="A1" s="66" t="s">
        <v>0</v>
      </c>
      <c r="B1" s="67"/>
      <c r="C1" s="67"/>
      <c r="D1" s="67"/>
      <c r="E1" s="67"/>
      <c r="F1" s="67"/>
      <c r="G1" s="67"/>
      <c r="H1" s="68"/>
      <c r="I1" s="69" t="str">
        <f xml:space="preserve">_xlfn.DISPIMG("ID_7ABDABB1ED324DD0A971A1B1469FC7F7",1)</f>
        <v>=DISPIMG("ID_7ABDABB1ED324DD0A971A1B1469FC7F7",1)</v>
      </c>
      <c r="J1" s="70"/>
    </row>
    <row r="2" s="64" customFormat="1" ht="65" customHeight="1" spans="1:10">
      <c r="A2" s="71" t="s">
        <v>1</v>
      </c>
      <c r="B2" s="72"/>
      <c r="C2" s="72"/>
      <c r="D2" s="72"/>
      <c r="E2" s="72"/>
      <c r="F2" s="72"/>
      <c r="G2" s="72"/>
      <c r="H2" s="73"/>
      <c r="I2" s="74"/>
      <c r="J2" s="75"/>
    </row>
    <row r="3" s="64" customFormat="1" ht="35" customHeight="1" spans="1:10">
      <c r="A3" s="76" t="s">
        <v>2</v>
      </c>
      <c r="B3" s="77"/>
      <c r="C3" s="78" t="s">
        <v>3</v>
      </c>
      <c r="D3" s="79"/>
      <c r="E3" s="80"/>
      <c r="F3" s="81" t="s">
        <v>4</v>
      </c>
      <c r="G3" s="82"/>
      <c r="H3" s="78" t="s">
        <v>5</v>
      </c>
      <c r="I3" s="74"/>
      <c r="J3" s="75"/>
    </row>
    <row r="4" s="64" customFormat="1" ht="36" customHeight="1" spans="1:10">
      <c r="A4" s="83" t="s">
        <v>6</v>
      </c>
      <c r="B4" s="84"/>
      <c r="C4" s="85" t="s">
        <v>7</v>
      </c>
      <c r="D4" s="86"/>
      <c r="E4" s="86"/>
      <c r="F4" s="86"/>
      <c r="G4" s="87"/>
      <c r="H4" s="88" t="s">
        <v>8</v>
      </c>
      <c r="I4" s="74"/>
      <c r="J4" s="75"/>
    </row>
    <row r="5" s="64" customFormat="1" ht="26" customHeight="1" spans="1:10">
      <c r="A5" s="89" t="s">
        <v>9</v>
      </c>
      <c r="B5" s="90"/>
      <c r="C5" s="91"/>
      <c r="D5" s="92"/>
      <c r="E5" s="92"/>
      <c r="F5" s="92"/>
      <c r="G5" s="92"/>
      <c r="H5" s="93"/>
      <c r="I5" s="74"/>
      <c r="J5" s="75"/>
    </row>
    <row r="6" s="64" customFormat="1" ht="26" customHeight="1" spans="1:10">
      <c r="A6" s="94" t="s">
        <v>10</v>
      </c>
      <c r="B6" s="95"/>
      <c r="C6" s="96" t="s">
        <v>11</v>
      </c>
      <c r="D6" s="97"/>
      <c r="E6" s="97"/>
      <c r="F6" s="97"/>
      <c r="G6" s="97"/>
      <c r="H6" s="98"/>
      <c r="I6" s="99"/>
      <c r="J6" s="100"/>
    </row>
    <row r="7" s="64" customFormat="1" ht="60" customHeight="1" spans="1:10">
      <c r="A7" s="101" t="s">
        <v>12</v>
      </c>
      <c r="B7" s="88" t="s">
        <v>13</v>
      </c>
      <c r="C7" s="102" t="s">
        <v>14</v>
      </c>
      <c r="D7" s="103" t="s">
        <v>15</v>
      </c>
      <c r="E7" s="104" t="s">
        <v>16</v>
      </c>
      <c r="F7" s="101" t="s">
        <v>17</v>
      </c>
      <c r="G7" s="105" t="s">
        <v>18</v>
      </c>
      <c r="H7" s="104" t="s">
        <v>19</v>
      </c>
      <c r="I7" s="106" t="s">
        <v>20</v>
      </c>
      <c r="J7" s="107"/>
    </row>
    <row r="8" s="64" customFormat="1" ht="93" customHeight="1" spans="1:10">
      <c r="A8" s="108">
        <v>1</v>
      </c>
      <c r="B8" s="109" t="s">
        <v>21</v>
      </c>
      <c r="C8" s="110" t="s">
        <v>22</v>
      </c>
      <c r="D8" s="111" t="s">
        <v>23</v>
      </c>
      <c r="E8" s="111" t="s">
        <v>24</v>
      </c>
      <c r="F8" s="111" t="s">
        <v>24</v>
      </c>
      <c r="G8" s="111" t="s">
        <v>23</v>
      </c>
      <c r="H8" s="112" t="s">
        <v>25</v>
      </c>
      <c r="I8" s="113"/>
      <c r="J8" s="114"/>
    </row>
    <row r="9" s="64" customFormat="1" ht="93" customHeight="1" spans="1:10">
      <c r="A9" s="115"/>
      <c r="B9" s="116"/>
      <c r="C9" s="117"/>
      <c r="D9" s="118"/>
      <c r="E9" s="118"/>
      <c r="F9" s="118"/>
      <c r="G9" s="118"/>
      <c r="H9" s="119"/>
      <c r="I9" s="120"/>
      <c r="J9" s="114"/>
    </row>
    <row r="10" s="64" customFormat="1" ht="93" customHeight="1" spans="1:10">
      <c r="A10" s="115"/>
      <c r="B10" s="116"/>
      <c r="C10" s="117"/>
      <c r="D10" s="118"/>
      <c r="E10" s="118"/>
      <c r="F10" s="118"/>
      <c r="G10" s="118"/>
      <c r="H10" s="119"/>
      <c r="I10" s="120"/>
      <c r="J10" s="114"/>
    </row>
    <row r="11" s="64" customFormat="1" ht="93" customHeight="1" spans="1:10">
      <c r="A11" s="115"/>
      <c r="B11" s="116"/>
      <c r="C11" s="117"/>
      <c r="D11" s="118"/>
      <c r="E11" s="118"/>
      <c r="F11" s="118"/>
      <c r="G11" s="118"/>
      <c r="H11" s="119"/>
      <c r="I11" s="120"/>
      <c r="J11" s="114"/>
    </row>
    <row r="12" s="64" customFormat="1" ht="93" customHeight="1" spans="1:10">
      <c r="A12" s="115"/>
      <c r="B12" s="116"/>
      <c r="C12" s="117"/>
      <c r="D12" s="118"/>
      <c r="E12" s="118"/>
      <c r="F12" s="118"/>
      <c r="G12" s="118"/>
      <c r="H12" s="119"/>
      <c r="I12" s="121"/>
      <c r="J12" s="122"/>
    </row>
    <row r="13" s="64" customFormat="1" ht="21" customHeight="1" spans="1:10">
      <c r="A13" s="123" t="s">
        <v>26</v>
      </c>
      <c r="B13" s="123"/>
      <c r="C13" s="123"/>
      <c r="D13" s="123"/>
      <c r="E13" s="123"/>
      <c r="F13" s="123"/>
      <c r="G13" s="123"/>
      <c r="H13" s="123"/>
      <c r="I13" s="123"/>
      <c r="J13" s="123"/>
    </row>
    <row r="14" s="65" customFormat="1" ht="15" customHeight="1" spans="1:10">
      <c r="A14" s="124"/>
      <c r="B14" s="124"/>
      <c r="C14" s="125" t="s">
        <v>27</v>
      </c>
      <c r="D14" s="125" t="s">
        <v>28</v>
      </c>
      <c r="E14" s="126" t="s">
        <v>29</v>
      </c>
      <c r="F14" s="126"/>
      <c r="G14" s="127"/>
      <c r="H14" s="127"/>
      <c r="I14" s="127"/>
      <c r="J14" s="128"/>
    </row>
    <row r="15" s="65" customFormat="1" ht="15" customHeight="1" spans="1:10">
      <c r="A15" s="129" t="s">
        <v>30</v>
      </c>
      <c r="B15" s="130"/>
      <c r="C15" s="131" t="s">
        <v>31</v>
      </c>
      <c r="D15" s="124" t="s">
        <v>28</v>
      </c>
      <c r="E15" s="132" t="s">
        <v>32</v>
      </c>
      <c r="F15" s="133"/>
      <c r="G15" s="127"/>
      <c r="H15" s="134" t="s">
        <v>33</v>
      </c>
      <c r="I15" s="127"/>
      <c r="J15" s="128"/>
    </row>
    <row r="16" s="65" customFormat="1" ht="19" customHeight="1" spans="1:10">
      <c r="A16" s="124"/>
      <c r="B16" s="124"/>
      <c r="C16" s="135" t="s">
        <v>34</v>
      </c>
      <c r="D16" s="135"/>
      <c r="E16" s="136" t="s">
        <v>35</v>
      </c>
      <c r="F16" s="136"/>
      <c r="G16" s="137"/>
      <c r="H16" s="137" t="s">
        <v>36</v>
      </c>
      <c r="I16" s="126" t="s">
        <v>37</v>
      </c>
      <c r="J16" s="128"/>
    </row>
  </sheetData>
  <mergeCells count="27">
    <mergeCell ref="A1:H1"/>
    <mergeCell ref="A2:H2"/>
    <mergeCell ref="A3:B3"/>
    <mergeCell ref="C3:E3"/>
    <mergeCell ref="F3:G3"/>
    <mergeCell ref="A4:B4"/>
    <mergeCell ref="C4:G4"/>
    <mergeCell ref="A5:B5"/>
    <mergeCell ref="C5:H5"/>
    <mergeCell ref="A6:B6"/>
    <mergeCell ref="C6:H6"/>
    <mergeCell ref="I7:J7"/>
    <mergeCell ref="A13:J13"/>
    <mergeCell ref="E14:F14"/>
    <mergeCell ref="A15:B15"/>
    <mergeCell ref="E15:F15"/>
    <mergeCell ref="C16:D16"/>
    <mergeCell ref="E16:F16"/>
    <mergeCell ref="A8:A12"/>
    <mergeCell ref="B8:B12"/>
    <mergeCell ref="C8:C12"/>
    <mergeCell ref="D8:D12"/>
    <mergeCell ref="E8:E12"/>
    <mergeCell ref="F8:F12"/>
    <mergeCell ref="G8:G12"/>
    <mergeCell ref="H8:H12"/>
    <mergeCell ref="I1:J6"/>
  </mergeCells>
  <printOptions horizontalCentered="1"/>
  <pageMargins left="0.118055555555556" right="0.118055555555556" top="0.236111111111111" bottom="0.118055555555556" header="0.118055555555556" footer="0.118055555555556"/>
  <pageSetup paperSize="9" scale="86" orientation="portrait" horizontalDpi="600"/>
  <headerFooter/>
  <colBreaks count="1" manualBreakCount="1">
    <brk id="10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060"/>
  </sheetPr>
  <dimension ref="A1:K17"/>
  <sheetViews>
    <sheetView tabSelected="1" view="pageBreakPreview" zoomScale="85" zoomScaleNormal="100" workbookViewId="0">
      <selection activeCell="I8" sqref="I8:K13"/>
    </sheetView>
  </sheetViews>
  <sheetFormatPr defaultColWidth="7.71428571428571" defaultRowHeight="12.75"/>
  <cols>
    <col min="1" max="1" width="4.71428571428571" style="2" customWidth="1"/>
    <col min="2" max="2" width="17" style="2" customWidth="1"/>
    <col min="3" max="7" width="8.8" style="2" customWidth="1"/>
    <col min="8" max="8" width="10.8380952380952" style="2" customWidth="1"/>
    <col min="9" max="11" width="22.4285714285714" style="2" customWidth="1"/>
    <col min="12" max="16384" width="7.71428571428571" style="2"/>
  </cols>
  <sheetData>
    <row r="1" ht="41" customHeight="1" spans="1:11">
      <c r="A1" s="3" t="s">
        <v>0</v>
      </c>
      <c r="B1" s="4"/>
      <c r="C1" s="4"/>
      <c r="D1" s="4"/>
      <c r="E1" s="4"/>
      <c r="F1" s="4"/>
      <c r="G1" s="4"/>
      <c r="H1" s="4"/>
      <c r="I1" s="5" t="str">
        <f xml:space="preserve">_xlfn.DISPIMG("ID_4A3A17F2BB3149C0815EAC9D6668F6F4",1)</f>
        <v>=DISPIMG("ID_4A3A17F2BB3149C0815EAC9D6668F6F4",1)</v>
      </c>
      <c r="J1" s="5"/>
      <c r="K1" s="5"/>
    </row>
    <row r="2" ht="65" customHeight="1" spans="1:11">
      <c r="A2" s="6" t="s">
        <v>1</v>
      </c>
      <c r="B2" s="7"/>
      <c r="C2" s="7"/>
      <c r="D2" s="7"/>
      <c r="E2" s="7"/>
      <c r="F2" s="7"/>
      <c r="G2" s="7"/>
      <c r="H2" s="7"/>
      <c r="I2" s="5"/>
      <c r="J2" s="5"/>
      <c r="K2" s="5"/>
    </row>
    <row r="3" ht="35" customHeight="1" spans="1:11">
      <c r="A3" s="8" t="s">
        <v>38</v>
      </c>
      <c r="B3" s="9"/>
      <c r="C3" s="10" t="s">
        <v>39</v>
      </c>
      <c r="D3" s="11"/>
      <c r="E3" s="12"/>
      <c r="F3" s="13" t="s">
        <v>4</v>
      </c>
      <c r="G3" s="14"/>
      <c r="H3" s="10" t="s">
        <v>5</v>
      </c>
      <c r="I3" s="5"/>
      <c r="J3" s="5"/>
      <c r="K3" s="5"/>
    </row>
    <row r="4" ht="53" customHeight="1" spans="1:11">
      <c r="A4" s="15" t="s">
        <v>40</v>
      </c>
      <c r="B4" s="16"/>
      <c r="C4" s="3" t="s">
        <v>41</v>
      </c>
      <c r="D4" s="4"/>
      <c r="E4" s="4"/>
      <c r="F4" s="4"/>
      <c r="G4" s="17"/>
      <c r="H4" s="18" t="s">
        <v>42</v>
      </c>
      <c r="I4" s="5"/>
      <c r="J4" s="5"/>
      <c r="K4" s="5"/>
    </row>
    <row r="5" ht="32" customHeight="1" spans="1:11">
      <c r="A5" s="19" t="s">
        <v>43</v>
      </c>
      <c r="B5" s="20"/>
      <c r="C5" s="21" t="s">
        <v>44</v>
      </c>
      <c r="D5" s="22"/>
      <c r="E5" s="22"/>
      <c r="F5" s="22"/>
      <c r="G5" s="22"/>
      <c r="H5" s="22"/>
      <c r="I5" s="5"/>
      <c r="J5" s="5"/>
      <c r="K5" s="5"/>
    </row>
    <row r="6" ht="32" customHeight="1" spans="1:11">
      <c r="A6" s="19" t="s">
        <v>45</v>
      </c>
      <c r="B6" s="20"/>
      <c r="C6" s="23" t="s">
        <v>46</v>
      </c>
      <c r="D6" s="24"/>
      <c r="E6" s="24"/>
      <c r="F6" s="24"/>
      <c r="G6" s="24"/>
      <c r="H6" s="24"/>
      <c r="I6" s="5"/>
      <c r="J6" s="5"/>
      <c r="K6" s="5"/>
    </row>
    <row r="7" ht="60" customHeight="1" spans="1:11">
      <c r="A7" s="25" t="s">
        <v>12</v>
      </c>
      <c r="B7" s="26" t="s">
        <v>13</v>
      </c>
      <c r="C7" s="27" t="s">
        <v>14</v>
      </c>
      <c r="D7" s="28" t="s">
        <v>15</v>
      </c>
      <c r="E7" s="29" t="s">
        <v>16</v>
      </c>
      <c r="F7" s="25" t="s">
        <v>17</v>
      </c>
      <c r="G7" s="27" t="s">
        <v>47</v>
      </c>
      <c r="H7" s="29" t="s">
        <v>19</v>
      </c>
      <c r="I7" s="30" t="s">
        <v>20</v>
      </c>
      <c r="J7" s="31"/>
      <c r="K7" s="31"/>
    </row>
    <row r="8" ht="93" customHeight="1" spans="1:11">
      <c r="A8" s="32">
        <v>1</v>
      </c>
      <c r="B8" s="33" t="s">
        <v>48</v>
      </c>
      <c r="C8" s="34" t="s">
        <v>49</v>
      </c>
      <c r="D8" s="35" t="s">
        <v>24</v>
      </c>
      <c r="E8" s="35" t="s">
        <v>24</v>
      </c>
      <c r="F8" s="35" t="s">
        <v>23</v>
      </c>
      <c r="G8" s="35" t="s">
        <v>23</v>
      </c>
      <c r="H8" s="36"/>
      <c r="I8" s="37"/>
      <c r="J8" s="2"/>
      <c r="K8" s="38"/>
    </row>
    <row r="9" ht="93" customHeight="1" spans="1:11">
      <c r="A9" s="39"/>
      <c r="B9" s="40"/>
      <c r="C9" s="41"/>
      <c r="D9" s="42"/>
      <c r="E9" s="42"/>
      <c r="F9" s="42"/>
      <c r="G9" s="42"/>
      <c r="H9" s="43"/>
      <c r="I9" s="44"/>
      <c r="J9" s="45"/>
      <c r="K9" s="46"/>
    </row>
    <row r="10" ht="93" customHeight="1" spans="1:11">
      <c r="A10" s="39"/>
      <c r="B10" s="40"/>
      <c r="C10" s="41"/>
      <c r="D10" s="42"/>
      <c r="E10" s="42"/>
      <c r="F10" s="42"/>
      <c r="G10" s="42"/>
      <c r="H10" s="43"/>
      <c r="I10" s="2"/>
      <c r="J10" s="47"/>
      <c r="K10" s="48"/>
    </row>
    <row r="11" ht="93" customHeight="1" spans="1:11">
      <c r="A11" s="39"/>
      <c r="B11" s="40"/>
      <c r="C11" s="41"/>
      <c r="D11" s="42"/>
      <c r="E11" s="42"/>
      <c r="F11" s="42"/>
      <c r="G11" s="42"/>
      <c r="H11" s="43"/>
      <c r="I11" s="49"/>
      <c r="J11" s="47"/>
      <c r="K11" s="48"/>
    </row>
    <row r="12" ht="93" customHeight="1" spans="1:11">
      <c r="A12" s="39"/>
      <c r="B12" s="40"/>
      <c r="C12" s="41"/>
      <c r="D12" s="42"/>
      <c r="E12" s="42"/>
      <c r="F12" s="42"/>
      <c r="G12" s="42"/>
      <c r="H12" s="43"/>
      <c r="I12" s="49"/>
      <c r="J12" s="47"/>
      <c r="K12" s="48"/>
    </row>
    <row r="13" ht="93" customHeight="1" spans="1:11">
      <c r="A13" s="39"/>
      <c r="B13" s="40"/>
      <c r="C13" s="41"/>
      <c r="D13" s="42"/>
      <c r="E13" s="42"/>
      <c r="F13" s="42"/>
      <c r="G13" s="42"/>
      <c r="H13" s="43"/>
      <c r="I13" s="49"/>
      <c r="J13" s="47"/>
      <c r="K13" s="48"/>
    </row>
    <row r="14" ht="18" customHeight="1" spans="1:11">
      <c r="A14" s="50" t="s">
        <v>50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</row>
    <row r="15" s="1" customFormat="1" ht="15" customHeight="1" spans="1:11">
      <c r="A15" s="51"/>
      <c r="B15" s="51"/>
      <c r="C15" s="52" t="s">
        <v>51</v>
      </c>
      <c r="D15" s="53" t="s">
        <v>52</v>
      </c>
      <c r="E15" s="54" t="s">
        <v>29</v>
      </c>
      <c r="F15" s="54"/>
      <c r="G15" s="51"/>
      <c r="H15" s="51"/>
      <c r="I15" s="51"/>
      <c r="J15" s="51"/>
    </row>
    <row r="16" s="1" customFormat="1" ht="15" customHeight="1" spans="1:11">
      <c r="A16" s="55" t="s">
        <v>53</v>
      </c>
      <c r="B16" s="56"/>
      <c r="C16" s="57" t="s">
        <v>31</v>
      </c>
      <c r="D16" s="53" t="s">
        <v>52</v>
      </c>
      <c r="E16" s="58" t="s">
        <v>54</v>
      </c>
      <c r="F16" s="59"/>
      <c r="G16" s="51"/>
      <c r="H16" s="60"/>
      <c r="I16" s="61" t="s">
        <v>33</v>
      </c>
      <c r="J16" s="51"/>
    </row>
    <row r="17" s="1" customFormat="1" ht="19" customHeight="1" spans="1:10">
      <c r="A17" s="51"/>
      <c r="B17" s="51"/>
      <c r="C17" s="53" t="s">
        <v>55</v>
      </c>
      <c r="D17" s="53"/>
      <c r="E17" s="62" t="s">
        <v>35</v>
      </c>
      <c r="F17" s="62"/>
      <c r="G17" s="63"/>
      <c r="H17" s="60"/>
      <c r="I17" s="63" t="s">
        <v>36</v>
      </c>
      <c r="J17" s="54" t="s">
        <v>37</v>
      </c>
    </row>
  </sheetData>
  <mergeCells count="27">
    <mergeCell ref="A1:H1"/>
    <mergeCell ref="A2:H2"/>
    <mergeCell ref="A3:B3"/>
    <mergeCell ref="C3:E3"/>
    <mergeCell ref="F3:G3"/>
    <mergeCell ref="A4:B4"/>
    <mergeCell ref="C4:G4"/>
    <mergeCell ref="A5:B5"/>
    <mergeCell ref="C5:H5"/>
    <mergeCell ref="A6:B6"/>
    <mergeCell ref="C6:H6"/>
    <mergeCell ref="I7:K7"/>
    <mergeCell ref="A14:K14"/>
    <mergeCell ref="E15:F15"/>
    <mergeCell ref="A16:B16"/>
    <mergeCell ref="E16:F16"/>
    <mergeCell ref="C17:D17"/>
    <mergeCell ref="E17:F17"/>
    <mergeCell ref="A8:A13"/>
    <mergeCell ref="B8:B13"/>
    <mergeCell ref="C8:C13"/>
    <mergeCell ref="D8:D13"/>
    <mergeCell ref="E8:E13"/>
    <mergeCell ref="F8:F13"/>
    <mergeCell ref="G8:G13"/>
    <mergeCell ref="H8:H13"/>
    <mergeCell ref="I1:K6"/>
  </mergeCells>
  <pageMargins left="0.354166666666667" right="0.156944444444444" top="0.511805555555556" bottom="0.75" header="0.118055555555556" footer="0.3"/>
  <pageSetup paperSize="9" scale="65" orientation="portrait"/>
  <headerFooter/>
  <colBreaks count="1" manualBreakCount="1">
    <brk id="11" max="19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1.nến khuôn</vt:lpstr>
      <vt:lpstr>2.Nến cốc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</dc:creator>
  <cp:lastModifiedBy>QC</cp:lastModifiedBy>
  <dcterms:created xsi:type="dcterms:W3CDTF">2026-10-18T09:34:00Z</dcterms:created>
  <dcterms:modified xsi:type="dcterms:W3CDTF">2026-10-19T01:57:16Z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75E7D47CE83340FB826C9526DFD71CF7_11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